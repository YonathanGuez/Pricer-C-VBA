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igre\Desktop\Tp_VBA\"/>
    </mc:Choice>
  </mc:AlternateContent>
  <bookViews>
    <workbookView xWindow="0" yWindow="0" windowWidth="20490" windowHeight="7755"/>
  </bookViews>
  <sheets>
    <sheet name="Feuil1" sheetId="1" r:id="rId1"/>
  </sheets>
  <definedNames>
    <definedName name="solver_adj" localSheetId="0" hidden="1">Feuil1!$C$13:$E$13</definedName>
    <definedName name="solver_eng" localSheetId="0" hidden="1">1</definedName>
    <definedName name="solver_lhs1" localSheetId="0" hidden="1">Feuil1!$E$13</definedName>
    <definedName name="solver_lhs2" localSheetId="0" hidden="1">Feuil1!$G$9</definedName>
    <definedName name="solver_neg" localSheetId="0" hidden="1">1</definedName>
    <definedName name="solver_num" localSheetId="0" hidden="1">2</definedName>
    <definedName name="solver_opt" localSheetId="0" hidden="1">Feuil1!$G$11</definedName>
    <definedName name="solver_rel1" localSheetId="0" hidden="1">3</definedName>
    <definedName name="solver_rel2" localSheetId="0" hidden="1">2</definedName>
    <definedName name="solver_rhs1" localSheetId="0" hidden="1">0</definedName>
    <definedName name="solver_rhs2" localSheetId="0" hidden="1">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" i="1" l="1"/>
  <c r="E11" i="1"/>
  <c r="E18" i="1" s="1"/>
  <c r="D11" i="1"/>
  <c r="C11" i="1"/>
  <c r="C17" i="1" s="1"/>
  <c r="L13" i="1"/>
  <c r="L12" i="1"/>
  <c r="M16" i="1"/>
  <c r="M15" i="1"/>
  <c r="L11" i="1"/>
  <c r="M17" i="1"/>
  <c r="L7" i="1" a="1"/>
  <c r="L14" i="1"/>
  <c r="L16" i="1"/>
  <c r="M12" i="1"/>
  <c r="M11" i="1"/>
  <c r="L17" i="1"/>
  <c r="L15" i="1"/>
  <c r="M14" i="1"/>
  <c r="M13" i="1"/>
  <c r="C18" i="1" l="1"/>
  <c r="D18" i="1"/>
  <c r="E16" i="1"/>
  <c r="D16" i="1"/>
  <c r="E17" i="1"/>
  <c r="D17" i="1"/>
  <c r="G6" i="1" a="1"/>
  <c r="G6" i="1" s="1"/>
  <c r="L7" i="1"/>
  <c r="M7" i="1"/>
  <c r="G8" i="1" l="1"/>
  <c r="G7" i="1"/>
  <c r="G11" i="1" s="1"/>
  <c r="G9" i="1" l="1"/>
</calcChain>
</file>

<file path=xl/sharedStrings.xml><?xml version="1.0" encoding="utf-8"?>
<sst xmlns="http://schemas.openxmlformats.org/spreadsheetml/2006/main" count="30" uniqueCount="24">
  <si>
    <t>Matrix of correlation</t>
  </si>
  <si>
    <t>Vector of weight coefficient</t>
  </si>
  <si>
    <t>SXSE</t>
  </si>
  <si>
    <t>SPX</t>
  </si>
  <si>
    <t>NKY</t>
  </si>
  <si>
    <t>€</t>
  </si>
  <si>
    <t xml:space="preserve">Volatilité  </t>
  </si>
  <si>
    <t>Solver Solution</t>
  </si>
  <si>
    <t>Matrix of covariance</t>
  </si>
  <si>
    <t>weight coefficient</t>
  </si>
  <si>
    <t>Call</t>
  </si>
  <si>
    <t>Put</t>
  </si>
  <si>
    <t>Call and put for the underlying SXSE</t>
  </si>
  <si>
    <t>PRICER OF THE BASKET(C#)</t>
  </si>
  <si>
    <t>Price (€)</t>
  </si>
  <si>
    <t>Standard Deviation</t>
  </si>
  <si>
    <t>Value</t>
  </si>
  <si>
    <t>PRICER OF THE CALL(C#)</t>
  </si>
  <si>
    <t>NUMBER OF ITERATION</t>
  </si>
  <si>
    <t>CALL VALUE(MC)</t>
  </si>
  <si>
    <t>CALL VALUE(BS)</t>
  </si>
  <si>
    <t>UNITS</t>
  </si>
  <si>
    <t>%</t>
  </si>
  <si>
    <t>Lehmann Guez M2CG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</si>
</sst>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2" borderId="0" xfId="0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3" fillId="2" borderId="0" xfId="0" applyFont="1" applyFill="1" applyBorder="1" applyAlignment="1" applyProtection="1">
      <alignment horizontal="center" vertical="center"/>
    </xf>
    <xf numFmtId="0" fontId="0" fillId="2" borderId="0" xfId="0" applyFill="1" applyAlignment="1">
      <alignment horizontal="center" vertical="center"/>
    </xf>
    <xf numFmtId="0" fontId="3" fillId="4" borderId="19" xfId="0" applyFont="1" applyFill="1" applyBorder="1" applyAlignment="1" applyProtection="1">
      <alignment horizontal="center" vertical="center"/>
    </xf>
    <xf numFmtId="0" fontId="3" fillId="4" borderId="18" xfId="0" applyFont="1" applyFill="1" applyBorder="1" applyAlignment="1" applyProtection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3" fillId="5" borderId="1" xfId="0" applyFont="1" applyFill="1" applyBorder="1" applyAlignment="1" applyProtection="1">
      <alignment horizontal="center" vertical="center"/>
    </xf>
    <xf numFmtId="0" fontId="3" fillId="5" borderId="20" xfId="0" applyFont="1" applyFill="1" applyBorder="1" applyAlignment="1" applyProtection="1">
      <alignment horizontal="center" vertical="center"/>
    </xf>
    <xf numFmtId="0" fontId="3" fillId="5" borderId="17" xfId="0" applyFont="1" applyFill="1" applyBorder="1" applyAlignment="1" applyProtection="1">
      <alignment horizontal="center" vertical="center"/>
    </xf>
    <xf numFmtId="0" fontId="3" fillId="5" borderId="13" xfId="0" applyFont="1" applyFill="1" applyBorder="1" applyAlignment="1" applyProtection="1">
      <alignment horizontal="center" vertical="center"/>
    </xf>
    <xf numFmtId="0" fontId="3" fillId="5" borderId="16" xfId="0" applyFont="1" applyFill="1" applyBorder="1" applyAlignment="1" applyProtection="1">
      <alignment horizontal="center" vertical="center"/>
    </xf>
    <xf numFmtId="0" fontId="3" fillId="6" borderId="14" xfId="0" applyNumberFormat="1" applyFont="1" applyFill="1" applyBorder="1" applyAlignment="1" applyProtection="1">
      <alignment horizontal="center" vertical="center"/>
      <protection locked="0"/>
    </xf>
    <xf numFmtId="0" fontId="3" fillId="6" borderId="15" xfId="0" applyNumberFormat="1" applyFont="1" applyFill="1" applyBorder="1" applyAlignment="1" applyProtection="1">
      <alignment horizontal="center" vertical="center"/>
      <protection locked="0"/>
    </xf>
    <xf numFmtId="0" fontId="0" fillId="7" borderId="2" xfId="0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7" borderId="2" xfId="0" applyNumberFormat="1" applyFill="1" applyBorder="1" applyAlignment="1">
      <alignment horizontal="center" vertical="center"/>
    </xf>
    <xf numFmtId="0" fontId="0" fillId="7" borderId="0" xfId="0" applyNumberFormat="1" applyFill="1" applyBorder="1" applyAlignment="1">
      <alignment horizontal="center" vertical="center"/>
    </xf>
    <xf numFmtId="0" fontId="0" fillId="7" borderId="3" xfId="0" applyNumberFormat="1" applyFill="1" applyBorder="1" applyAlignment="1">
      <alignment horizontal="center" vertical="center"/>
    </xf>
    <xf numFmtId="0" fontId="0" fillId="7" borderId="4" xfId="0" applyNumberFormat="1" applyFill="1" applyBorder="1" applyAlignment="1">
      <alignment horizontal="center" vertical="center"/>
    </xf>
    <xf numFmtId="0" fontId="0" fillId="7" borderId="5" xfId="0" applyNumberFormat="1" applyFill="1" applyBorder="1" applyAlignment="1">
      <alignment horizontal="center" vertical="center"/>
    </xf>
    <xf numFmtId="0" fontId="0" fillId="7" borderId="6" xfId="0" applyNumberFormat="1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3" fillId="7" borderId="2" xfId="0" applyFont="1" applyFill="1" applyBorder="1" applyAlignment="1" applyProtection="1">
      <alignment horizontal="center" vertical="center"/>
      <protection locked="0"/>
    </xf>
    <xf numFmtId="2" fontId="3" fillId="7" borderId="0" xfId="0" quotePrefix="1" applyNumberFormat="1" applyFont="1" applyFill="1" applyBorder="1" applyAlignment="1" applyProtection="1">
      <alignment horizontal="center" vertical="center"/>
      <protection locked="0"/>
    </xf>
    <xf numFmtId="2" fontId="3" fillId="7" borderId="0" xfId="0" applyNumberFormat="1" applyFont="1" applyFill="1" applyBorder="1" applyAlignment="1" applyProtection="1">
      <alignment horizontal="center" vertical="center"/>
      <protection locked="0"/>
    </xf>
    <xf numFmtId="0" fontId="3" fillId="7" borderId="3" xfId="0" applyFont="1" applyFill="1" applyBorder="1" applyAlignment="1" applyProtection="1">
      <alignment horizontal="center" vertical="center"/>
    </xf>
    <xf numFmtId="0" fontId="3" fillId="7" borderId="4" xfId="0" applyFont="1" applyFill="1" applyBorder="1" applyAlignment="1" applyProtection="1">
      <alignment horizontal="center" vertical="center"/>
      <protection locked="0"/>
    </xf>
    <xf numFmtId="2" fontId="3" fillId="7" borderId="5" xfId="0" quotePrefix="1" applyNumberFormat="1" applyFont="1" applyFill="1" applyBorder="1" applyAlignment="1" applyProtection="1">
      <alignment horizontal="center" vertical="center"/>
      <protection locked="0"/>
    </xf>
    <xf numFmtId="2" fontId="3" fillId="7" borderId="5" xfId="0" applyNumberFormat="1" applyFont="1" applyFill="1" applyBorder="1" applyAlignment="1" applyProtection="1">
      <alignment horizontal="center" vertical="center"/>
      <protection locked="0"/>
    </xf>
    <xf numFmtId="0" fontId="3" fillId="7" borderId="6" xfId="0" applyFont="1" applyFill="1" applyBorder="1" applyAlignment="1" applyProtection="1">
      <alignment horizontal="center" vertical="center"/>
    </xf>
    <xf numFmtId="0" fontId="3" fillId="4" borderId="2" xfId="0" applyFont="1" applyFill="1" applyBorder="1" applyAlignment="1" applyProtection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3" fillId="3" borderId="0" xfId="0" applyFont="1" applyFill="1" applyBorder="1" applyAlignment="1" applyProtection="1">
      <alignment horizontal="center" vertical="center"/>
    </xf>
    <xf numFmtId="0" fontId="3" fillId="3" borderId="0" xfId="0" applyFont="1" applyFill="1" applyBorder="1" applyAlignment="1" applyProtection="1">
      <alignment horizontal="center" vertical="center"/>
      <protection locked="0"/>
    </xf>
    <xf numFmtId="0" fontId="2" fillId="3" borderId="0" xfId="0" applyFont="1" applyFill="1" applyBorder="1" applyAlignment="1" applyProtection="1">
      <alignment horizontal="center" vertical="center"/>
    </xf>
    <xf numFmtId="0" fontId="1" fillId="3" borderId="0" xfId="0" applyFont="1" applyFill="1" applyBorder="1" applyAlignment="1" applyProtection="1">
      <alignment horizontal="center" vertical="center"/>
      <protection locked="0"/>
    </xf>
    <xf numFmtId="0" fontId="2" fillId="3" borderId="0" xfId="0" applyFont="1" applyFill="1" applyBorder="1" applyAlignment="1" applyProtection="1">
      <alignment horizontal="center" vertical="center"/>
      <protection locked="0"/>
    </xf>
    <xf numFmtId="0" fontId="0" fillId="4" borderId="7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3" fillId="4" borderId="7" xfId="0" applyFont="1" applyFill="1" applyBorder="1" applyAlignment="1" applyProtection="1">
      <alignment horizontal="center" vertical="center"/>
    </xf>
    <xf numFmtId="0" fontId="1" fillId="4" borderId="8" xfId="0" applyFont="1" applyFill="1" applyBorder="1" applyAlignment="1" applyProtection="1">
      <alignment horizontal="center" vertical="center"/>
    </xf>
    <xf numFmtId="0" fontId="1" fillId="4" borderId="9" xfId="0" applyFont="1" applyFill="1" applyBorder="1" applyAlignment="1" applyProtection="1">
      <alignment horizontal="center" vertical="center"/>
    </xf>
    <xf numFmtId="2" fontId="3" fillId="7" borderId="21" xfId="0" applyNumberFormat="1" applyFont="1" applyFill="1" applyBorder="1" applyAlignment="1" applyProtection="1">
      <alignment horizontal="center" vertical="center"/>
      <protection locked="0"/>
    </xf>
    <xf numFmtId="2" fontId="3" fillId="7" borderId="22" xfId="0" applyNumberFormat="1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B800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r>
              <a:rPr lang="fr-FR"/>
              <a:t>Black Scholes vs Monte-Carlo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ea typeface="Arial"/>
              <a:cs typeface="Arial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Feuil1!$L$10</c:f>
              <c:strCache>
                <c:ptCount val="1"/>
                <c:pt idx="0">
                  <c:v>CALL VALUE(MC)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Feuil1!$K$11:$K$17</c:f>
              <c:numCache>
                <c:formatCode>General</c:formatCode>
                <c:ptCount val="7"/>
                <c:pt idx="0">
                  <c:v>1000</c:v>
                </c:pt>
                <c:pt idx="1">
                  <c:v>5000</c:v>
                </c:pt>
                <c:pt idx="2">
                  <c:v>10000</c:v>
                </c:pt>
                <c:pt idx="3">
                  <c:v>70000</c:v>
                </c:pt>
                <c:pt idx="4">
                  <c:v>200000</c:v>
                </c:pt>
                <c:pt idx="5">
                  <c:v>500000</c:v>
                </c:pt>
                <c:pt idx="6">
                  <c:v>1000000</c:v>
                </c:pt>
              </c:numCache>
            </c:numRef>
          </c:xVal>
          <c:yVal>
            <c:numRef>
              <c:f>Feuil1!$L$11:$L$17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Feuil1!$M$10</c:f>
              <c:strCache>
                <c:ptCount val="1"/>
                <c:pt idx="0">
                  <c:v>CALL VALUE(BS)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Feuil1!$K$11:$K$17</c:f>
              <c:numCache>
                <c:formatCode>General</c:formatCode>
                <c:ptCount val="7"/>
                <c:pt idx="0">
                  <c:v>1000</c:v>
                </c:pt>
                <c:pt idx="1">
                  <c:v>5000</c:v>
                </c:pt>
                <c:pt idx="2">
                  <c:v>10000</c:v>
                </c:pt>
                <c:pt idx="3">
                  <c:v>70000</c:v>
                </c:pt>
                <c:pt idx="4">
                  <c:v>200000</c:v>
                </c:pt>
                <c:pt idx="5">
                  <c:v>500000</c:v>
                </c:pt>
                <c:pt idx="6">
                  <c:v>1000000</c:v>
                </c:pt>
              </c:numCache>
            </c:numRef>
          </c:xVal>
          <c:yVal>
            <c:numRef>
              <c:f>Feuil1!$M$11:$M$17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0089168"/>
        <c:axId val="340089728"/>
      </c:scatterChart>
      <c:valAx>
        <c:axId val="340089168"/>
        <c:scaling>
          <c:logBase val="10"/>
          <c:orientation val="minMax"/>
          <c:max val="1000100"/>
          <c:min val="9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Number of iteration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/>
                  <a:ea typeface="Arial"/>
                  <a:cs typeface="Arial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40089728"/>
        <c:crosses val="autoZero"/>
        <c:crossBetween val="midCat"/>
      </c:valAx>
      <c:valAx>
        <c:axId val="340089728"/>
        <c:scaling>
          <c:orientation val="minMax"/>
          <c:max val="10.533262343550383"/>
          <c:min val="9.533262343550383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Call Value (euros)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/>
                  <a:ea typeface="Arial"/>
                  <a:cs typeface="Arial"/>
                </a:defRPr>
              </a:pPr>
              <a:endParaRPr lang="fr-F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400891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371475</xdr:colOff>
      <xdr:row>12</xdr:row>
      <xdr:rowOff>9525</xdr:rowOff>
    </xdr:from>
    <xdr:to>
      <xdr:col>7</xdr:col>
      <xdr:colOff>19050</xdr:colOff>
      <xdr:row>14</xdr:row>
      <xdr:rowOff>0</xdr:rowOff>
    </xdr:to>
    <xdr:sp macro="[0]!Panier.Panier" textlink="">
      <xdr:nvSpPr>
        <xdr:cNvPr id="2" name="Rectangle 1"/>
        <xdr:cNvSpPr/>
      </xdr:nvSpPr>
      <xdr:spPr>
        <a:xfrm>
          <a:off x="4733925" y="2581275"/>
          <a:ext cx="1304925" cy="390525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Weight</a:t>
          </a:r>
          <a:r>
            <a:rPr lang="fr-FR" sz="1100" baseline="0"/>
            <a:t> Calculation</a:t>
          </a:r>
          <a:endParaRPr lang="fr-FR" sz="1100"/>
        </a:p>
      </xdr:txBody>
    </xdr:sp>
    <xdr:clientData/>
  </xdr:twoCellAnchor>
  <xdr:twoCellAnchor>
    <xdr:from>
      <xdr:col>8</xdr:col>
      <xdr:colOff>0</xdr:colOff>
      <xdr:row>12</xdr:row>
      <xdr:rowOff>0</xdr:rowOff>
    </xdr:from>
    <xdr:to>
      <xdr:col>9</xdr:col>
      <xdr:colOff>9525</xdr:colOff>
      <xdr:row>13</xdr:row>
      <xdr:rowOff>190500</xdr:rowOff>
    </xdr:to>
    <xdr:sp macro="[0]!Black_Scholes.Black_Scholes" textlink="">
      <xdr:nvSpPr>
        <xdr:cNvPr id="5" name="Rectangle 4"/>
        <xdr:cNvSpPr/>
      </xdr:nvSpPr>
      <xdr:spPr>
        <a:xfrm>
          <a:off x="6315075" y="2571750"/>
          <a:ext cx="1362075" cy="390525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Call</a:t>
          </a:r>
          <a:r>
            <a:rPr lang="fr-FR" sz="1100" baseline="0"/>
            <a:t> And Put</a:t>
          </a:r>
        </a:p>
      </xdr:txBody>
    </xdr:sp>
    <xdr:clientData/>
  </xdr:twoCellAnchor>
  <xdr:twoCellAnchor>
    <xdr:from>
      <xdr:col>9</xdr:col>
      <xdr:colOff>295275</xdr:colOff>
      <xdr:row>18</xdr:row>
      <xdr:rowOff>9525</xdr:rowOff>
    </xdr:from>
    <xdr:to>
      <xdr:col>13</xdr:col>
      <xdr:colOff>533400</xdr:colOff>
      <xdr:row>20</xdr:row>
      <xdr:rowOff>19050</xdr:rowOff>
    </xdr:to>
    <xdr:sp macro="[0]!GraphCreation" textlink="">
      <xdr:nvSpPr>
        <xdr:cNvPr id="7" name="Rectangle 6"/>
        <xdr:cNvSpPr/>
      </xdr:nvSpPr>
      <xdr:spPr>
        <a:xfrm>
          <a:off x="7962900" y="3781425"/>
          <a:ext cx="4486275" cy="390525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aseline="0"/>
            <a:t>Graph</a:t>
          </a:r>
        </a:p>
      </xdr:txBody>
    </xdr:sp>
    <xdr:clientData/>
  </xdr:twoCellAnchor>
  <xdr:twoCellAnchor>
    <xdr:from>
      <xdr:col>10</xdr:col>
      <xdr:colOff>0</xdr:colOff>
      <xdr:row>21</xdr:row>
      <xdr:rowOff>0</xdr:rowOff>
    </xdr:from>
    <xdr:to>
      <xdr:col>14</xdr:col>
      <xdr:colOff>85725</xdr:colOff>
      <xdr:row>35</xdr:row>
      <xdr:rowOff>76200</xdr:rowOff>
    </xdr:to>
    <xdr:graphicFrame macro="">
      <xdr:nvGraphicFramePr>
        <xdr:cNvPr id="18" name="CALL Graph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E37"/>
  <sheetViews>
    <sheetView tabSelected="1" workbookViewId="0">
      <selection activeCell="J2" sqref="J2"/>
    </sheetView>
  </sheetViews>
  <sheetFormatPr baseColWidth="10" defaultRowHeight="15" x14ac:dyDescent="0.25"/>
  <cols>
    <col min="1" max="1" width="3.42578125" style="10" customWidth="1"/>
    <col min="2" max="2" width="27.7109375" style="10" customWidth="1"/>
    <col min="3" max="5" width="11.42578125" style="10"/>
    <col min="6" max="6" width="5.85546875" style="10" customWidth="1"/>
    <col min="7" max="7" width="19" style="10" customWidth="1"/>
    <col min="8" max="8" width="4.42578125" style="10" customWidth="1"/>
    <col min="9" max="9" width="20.28515625" style="10" customWidth="1"/>
    <col min="10" max="10" width="4.5703125" style="10" customWidth="1"/>
    <col min="11" max="11" width="22.140625" style="10" customWidth="1"/>
    <col min="12" max="12" width="18.85546875" style="10" customWidth="1"/>
    <col min="13" max="13" width="18.140625" style="10" customWidth="1"/>
    <col min="14" max="14" width="8.140625" style="10" customWidth="1"/>
    <col min="15" max="57" width="11.42578125" style="10"/>
    <col min="58" max="16384" width="11.42578125" style="4"/>
  </cols>
  <sheetData>
    <row r="1" spans="1:18" s="4" customFormat="1" ht="23.25" customHeight="1" x14ac:dyDescent="0.25">
      <c r="A1" s="44"/>
      <c r="B1" s="44" t="s">
        <v>23</v>
      </c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</row>
    <row r="2" spans="1:18" s="4" customFormat="1" ht="22.5" customHeight="1" x14ac:dyDescent="0.25">
      <c r="A2" s="44"/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</row>
    <row r="3" spans="1:18" s="4" customFormat="1" ht="8.25" customHeight="1" x14ac:dyDescent="0.25">
      <c r="A3" s="44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</row>
    <row r="4" spans="1:18" s="4" customFormat="1" ht="6" customHeight="1" thickBot="1" x14ac:dyDescent="0.3">
      <c r="A4" s="44"/>
      <c r="B4" s="44"/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</row>
    <row r="5" spans="1:18" s="4" customFormat="1" ht="33" customHeight="1" thickBot="1" x14ac:dyDescent="0.3">
      <c r="A5" s="10"/>
      <c r="B5" s="10"/>
      <c r="C5" s="50" t="s">
        <v>0</v>
      </c>
      <c r="D5" s="51"/>
      <c r="E5" s="52"/>
      <c r="F5" s="10"/>
      <c r="G5" s="8" t="s">
        <v>9</v>
      </c>
      <c r="H5" s="10"/>
      <c r="I5" s="9" t="s">
        <v>12</v>
      </c>
      <c r="J5" s="47"/>
      <c r="K5" s="53" t="s">
        <v>13</v>
      </c>
      <c r="L5" s="54"/>
      <c r="M5" s="55"/>
      <c r="N5" s="48"/>
      <c r="O5" s="10"/>
      <c r="P5" s="10"/>
      <c r="Q5" s="10"/>
      <c r="R5" s="10"/>
    </row>
    <row r="6" spans="1:18" s="4" customFormat="1" ht="15.75" thickBot="1" x14ac:dyDescent="0.3">
      <c r="A6" s="10"/>
      <c r="B6" s="10"/>
      <c r="C6" s="19">
        <v>1</v>
      </c>
      <c r="D6" s="20">
        <v>0.8</v>
      </c>
      <c r="E6" s="21">
        <v>0.7</v>
      </c>
      <c r="F6" s="10"/>
      <c r="G6" s="33">
        <f t="array" ref="G6:G8">TRANSPOSE(C13:E13)</f>
        <v>0.16820245298435171</v>
      </c>
      <c r="H6" s="10"/>
      <c r="I6" s="11" t="s">
        <v>10</v>
      </c>
      <c r="J6" s="2"/>
      <c r="K6" s="43"/>
      <c r="L6" s="12" t="s">
        <v>14</v>
      </c>
      <c r="M6" s="12" t="s">
        <v>15</v>
      </c>
      <c r="N6" s="49"/>
      <c r="O6" s="10"/>
      <c r="P6" s="10"/>
      <c r="Q6" s="10"/>
      <c r="R6" s="10"/>
    </row>
    <row r="7" spans="1:18" s="4" customFormat="1" ht="15.75" thickBot="1" x14ac:dyDescent="0.3">
      <c r="A7" s="10"/>
      <c r="B7" s="10"/>
      <c r="C7" s="19">
        <v>0.8</v>
      </c>
      <c r="D7" s="20">
        <v>1</v>
      </c>
      <c r="E7" s="21">
        <v>0.4</v>
      </c>
      <c r="F7" s="10"/>
      <c r="G7" s="33">
        <v>0.49030441037386918</v>
      </c>
      <c r="H7" s="10"/>
      <c r="I7" s="33">
        <v>10.033262343550399</v>
      </c>
      <c r="J7" s="46"/>
      <c r="K7" s="13" t="s">
        <v>16</v>
      </c>
      <c r="L7" s="56" t="e">
        <f t="array" aca="1" ref="L7:M7" ca="1">_xll.generate_pricer_basket(100,110,90,100,110,90,3,3,3,C11,D11,E11,3,3,3,G6,G7,G8,C7,C8,D8,K14)</f>
        <v>#NAME?</v>
      </c>
      <c r="M7" s="57" t="e">
        <f ca="1"/>
        <v>#NAME?</v>
      </c>
      <c r="N7" s="49"/>
      <c r="O7" s="10"/>
      <c r="P7" s="10"/>
      <c r="Q7" s="10"/>
      <c r="R7" s="10"/>
    </row>
    <row r="8" spans="1:18" s="4" customFormat="1" ht="15.75" thickBot="1" x14ac:dyDescent="0.3">
      <c r="A8" s="10"/>
      <c r="B8" s="10"/>
      <c r="C8" s="22">
        <v>0.7</v>
      </c>
      <c r="D8" s="23">
        <v>0.4</v>
      </c>
      <c r="E8" s="24">
        <v>1</v>
      </c>
      <c r="F8" s="10"/>
      <c r="G8" s="33">
        <v>0.34149313664177916</v>
      </c>
      <c r="H8" s="10"/>
      <c r="I8" s="11" t="s">
        <v>11</v>
      </c>
      <c r="J8" s="46"/>
      <c r="K8" s="46"/>
      <c r="L8" s="46"/>
      <c r="M8" s="46"/>
      <c r="N8" s="46"/>
      <c r="O8" s="10"/>
      <c r="P8" s="10"/>
      <c r="Q8" s="10"/>
      <c r="R8" s="10"/>
    </row>
    <row r="9" spans="1:18" s="4" customFormat="1" ht="15.75" thickBot="1" x14ac:dyDescent="0.3">
      <c r="A9" s="10"/>
      <c r="B9" s="10"/>
      <c r="C9" s="2"/>
      <c r="D9" s="2"/>
      <c r="E9" s="2"/>
      <c r="F9" s="10"/>
      <c r="G9" s="7">
        <f>SUM(G6:G8)</f>
        <v>1</v>
      </c>
      <c r="H9" s="10"/>
      <c r="I9" s="34">
        <v>5.6330105268603887</v>
      </c>
      <c r="J9" s="46"/>
      <c r="K9" s="53" t="s">
        <v>17</v>
      </c>
      <c r="L9" s="54"/>
      <c r="M9" s="54"/>
      <c r="N9" s="55"/>
      <c r="O9" s="10"/>
      <c r="P9" s="10"/>
      <c r="Q9" s="10"/>
      <c r="R9" s="10"/>
    </row>
    <row r="10" spans="1:18" s="4" customFormat="1" ht="15.75" thickBot="1" x14ac:dyDescent="0.3">
      <c r="A10" s="10"/>
      <c r="B10" s="5" t="s">
        <v>22</v>
      </c>
      <c r="C10" s="14" t="s">
        <v>2</v>
      </c>
      <c r="D10" s="15" t="s">
        <v>3</v>
      </c>
      <c r="E10" s="16" t="s">
        <v>4</v>
      </c>
      <c r="F10" s="2"/>
      <c r="G10" s="7" t="s">
        <v>7</v>
      </c>
      <c r="H10" s="10"/>
      <c r="I10" s="2"/>
      <c r="J10" s="46"/>
      <c r="K10" s="12" t="s">
        <v>18</v>
      </c>
      <c r="L10" s="12" t="s">
        <v>19</v>
      </c>
      <c r="M10" s="12" t="s">
        <v>20</v>
      </c>
      <c r="N10" s="12" t="s">
        <v>21</v>
      </c>
      <c r="O10" s="10"/>
      <c r="P10" s="10"/>
      <c r="Q10" s="10"/>
      <c r="R10" s="10"/>
    </row>
    <row r="11" spans="1:18" s="4" customFormat="1" ht="15.75" thickBot="1" x14ac:dyDescent="0.3">
      <c r="A11" s="10"/>
      <c r="B11" s="6" t="s">
        <v>6</v>
      </c>
      <c r="C11" s="17">
        <f>16</f>
        <v>16</v>
      </c>
      <c r="D11" s="17">
        <f>17</f>
        <v>17</v>
      </c>
      <c r="E11" s="18">
        <f>19</f>
        <v>19</v>
      </c>
      <c r="F11" s="10"/>
      <c r="G11" s="34">
        <f>MMULT(MMULT(C13:E13,C16:E18),G6:G8)</f>
        <v>222.41978423716324</v>
      </c>
      <c r="H11" s="10"/>
      <c r="I11" s="2"/>
      <c r="J11" s="46"/>
      <c r="K11" s="35">
        <v>1000</v>
      </c>
      <c r="L11" s="36" t="e">
        <f ca="1">_xll.generate_pricer_call(100,100,1.5,$C$11,3,K11)</f>
        <v>#NAME?</v>
      </c>
      <c r="M11" s="37" t="e">
        <f ca="1">_xll.CallValue(100,100,1.5,$C$11,3)</f>
        <v>#NAME?</v>
      </c>
      <c r="N11" s="38" t="s">
        <v>5</v>
      </c>
      <c r="O11" s="10"/>
      <c r="P11" s="10"/>
      <c r="Q11" s="10"/>
      <c r="R11" s="10"/>
    </row>
    <row r="12" spans="1:18" s="4" customFormat="1" ht="15.75" thickBot="1" x14ac:dyDescent="0.3">
      <c r="A12" s="10"/>
      <c r="B12" s="10"/>
      <c r="C12" s="10"/>
      <c r="D12" s="10"/>
      <c r="E12" s="10"/>
      <c r="F12" s="10"/>
      <c r="G12" s="10"/>
      <c r="H12" s="10"/>
      <c r="I12" s="45"/>
      <c r="J12" s="46"/>
      <c r="K12" s="35">
        <v>5000</v>
      </c>
      <c r="L12" s="36" t="e">
        <f ca="1">_xll.generate_pricer_call(100,100,1.5,$C$11,3,K12)</f>
        <v>#NAME?</v>
      </c>
      <c r="M12" s="37" t="e">
        <f ca="1">_xll.CallValue(100,100,1.5,$C$11,3)</f>
        <v>#NAME?</v>
      </c>
      <c r="N12" s="38" t="s">
        <v>5</v>
      </c>
      <c r="O12" s="10"/>
      <c r="P12" s="10"/>
      <c r="Q12" s="10"/>
      <c r="R12" s="10"/>
    </row>
    <row r="13" spans="1:18" s="4" customFormat="1" ht="15.75" thickBot="1" x14ac:dyDescent="0.3">
      <c r="A13" s="10"/>
      <c r="B13" s="7" t="s">
        <v>1</v>
      </c>
      <c r="C13" s="25">
        <v>0.16820245298435171</v>
      </c>
      <c r="D13" s="25">
        <v>0.49030441037386918</v>
      </c>
      <c r="E13" s="26">
        <v>0.34149313664177916</v>
      </c>
      <c r="F13" s="10"/>
      <c r="H13" s="10"/>
      <c r="I13" s="1"/>
      <c r="J13" s="2"/>
      <c r="K13" s="35">
        <v>10000</v>
      </c>
      <c r="L13" s="36" t="e">
        <f ca="1">_xll.generate_pricer_call(100,100,1.5,$C$11,3,K13)</f>
        <v>#NAME?</v>
      </c>
      <c r="M13" s="37" t="e">
        <f ca="1">_xll.CallValue(100,100,1.5,$C$11,3)</f>
        <v>#NAME?</v>
      </c>
      <c r="N13" s="38" t="s">
        <v>5</v>
      </c>
      <c r="O13" s="10"/>
      <c r="P13" s="10"/>
      <c r="Q13" s="10"/>
      <c r="R13" s="10"/>
    </row>
    <row r="14" spans="1:18" s="4" customFormat="1" ht="15.75" thickBot="1" x14ac:dyDescent="0.3">
      <c r="A14" s="10"/>
      <c r="B14" s="10"/>
      <c r="C14" s="10"/>
      <c r="D14" s="10"/>
      <c r="E14" s="10"/>
      <c r="F14" s="10"/>
      <c r="H14" s="10"/>
      <c r="I14" s="3"/>
      <c r="J14" s="46"/>
      <c r="K14" s="35">
        <v>70000</v>
      </c>
      <c r="L14" s="36" t="e">
        <f ca="1">_xll.generate_pricer_call(100,100,1.5,$C$11,3,K14)</f>
        <v>#NAME?</v>
      </c>
      <c r="M14" s="37" t="e">
        <f ca="1">_xll.CallValue(100,100,1.5,$C$11,3)</f>
        <v>#NAME?</v>
      </c>
      <c r="N14" s="38" t="s">
        <v>5</v>
      </c>
      <c r="O14" s="10"/>
      <c r="P14" s="10"/>
      <c r="Q14" s="10"/>
      <c r="R14" s="10"/>
    </row>
    <row r="15" spans="1:18" s="4" customFormat="1" ht="15.75" thickBot="1" x14ac:dyDescent="0.3">
      <c r="A15" s="10"/>
      <c r="B15" s="10"/>
      <c r="C15" s="50" t="s">
        <v>8</v>
      </c>
      <c r="D15" s="51"/>
      <c r="E15" s="52"/>
      <c r="F15" s="10"/>
      <c r="G15" s="10"/>
      <c r="H15" s="10"/>
      <c r="I15" s="10"/>
      <c r="J15" s="10"/>
      <c r="K15" s="35">
        <v>200000</v>
      </c>
      <c r="L15" s="36" t="e">
        <f ca="1">_xll.generate_pricer_call(100,100,1.5,$C$11,3,K15)</f>
        <v>#NAME?</v>
      </c>
      <c r="M15" s="37" t="e">
        <f ca="1">_xll.CallValue(100,100,1.5,$C$11,3)</f>
        <v>#NAME?</v>
      </c>
      <c r="N15" s="38" t="s">
        <v>5</v>
      </c>
      <c r="O15" s="10"/>
      <c r="P15" s="10"/>
      <c r="Q15" s="10"/>
      <c r="R15" s="10"/>
    </row>
    <row r="16" spans="1:18" s="4" customFormat="1" x14ac:dyDescent="0.25">
      <c r="A16" s="10"/>
      <c r="B16" s="10"/>
      <c r="C16" s="27">
        <f>C11*C11</f>
        <v>256</v>
      </c>
      <c r="D16" s="28">
        <f>0.8*C11*D11</f>
        <v>217.60000000000002</v>
      </c>
      <c r="E16" s="29">
        <f>0.7*C11*E11</f>
        <v>212.79999999999998</v>
      </c>
      <c r="F16" s="10"/>
      <c r="G16" s="10"/>
      <c r="H16" s="10"/>
      <c r="I16" s="10"/>
      <c r="J16" s="10"/>
      <c r="K16" s="35">
        <v>500000</v>
      </c>
      <c r="L16" s="36" t="e">
        <f ca="1">_xll.generate_pricer_call(100,100,1.5,$C$11,3,K16)</f>
        <v>#NAME?</v>
      </c>
      <c r="M16" s="37" t="e">
        <f ca="1">_xll.CallValue(100,100,1.5,$C$11,3)</f>
        <v>#NAME?</v>
      </c>
      <c r="N16" s="38" t="s">
        <v>5</v>
      </c>
      <c r="O16" s="10"/>
      <c r="P16" s="10"/>
      <c r="Q16" s="10"/>
      <c r="R16" s="10"/>
    </row>
    <row r="17" spans="1:18" s="4" customFormat="1" ht="15.75" thickBot="1" x14ac:dyDescent="0.3">
      <c r="A17" s="10"/>
      <c r="B17" s="10"/>
      <c r="C17" s="27">
        <f>0.8*C11*D11</f>
        <v>217.60000000000002</v>
      </c>
      <c r="D17" s="28">
        <f>D11*D11</f>
        <v>289</v>
      </c>
      <c r="E17" s="29">
        <f>0.4*D11*E11</f>
        <v>129.20000000000002</v>
      </c>
      <c r="F17" s="10"/>
      <c r="G17" s="10"/>
      <c r="H17" s="10"/>
      <c r="I17" s="10"/>
      <c r="J17" s="10"/>
      <c r="K17" s="39">
        <v>1000000</v>
      </c>
      <c r="L17" s="40" t="e">
        <f ca="1">_xll.generate_pricer_call(100,100,1.5,$C$11,3,K17)</f>
        <v>#NAME?</v>
      </c>
      <c r="M17" s="41" t="e">
        <f ca="1">_xll.CallValue(100,100,1.5,$C$11,3)</f>
        <v>#NAME?</v>
      </c>
      <c r="N17" s="42" t="s">
        <v>5</v>
      </c>
      <c r="O17" s="10"/>
      <c r="P17" s="10"/>
      <c r="Q17" s="10"/>
      <c r="R17" s="10"/>
    </row>
    <row r="18" spans="1:18" s="4" customFormat="1" ht="15.75" thickBot="1" x14ac:dyDescent="0.3">
      <c r="A18" s="10"/>
      <c r="B18" s="10"/>
      <c r="C18" s="30">
        <f>0.7*C11*E11</f>
        <v>212.79999999999998</v>
      </c>
      <c r="D18" s="31">
        <f>0.4*D11*E11</f>
        <v>129.20000000000002</v>
      </c>
      <c r="E18" s="32">
        <f>E11*E11</f>
        <v>361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</row>
    <row r="19" spans="1:18" s="4" customFormat="1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O19" s="10"/>
      <c r="P19" s="10"/>
      <c r="Q19" s="10"/>
      <c r="R19" s="10"/>
    </row>
    <row r="20" spans="1:18" s="4" customFormat="1" x14ac:dyDescent="0.25">
      <c r="A20" s="10"/>
      <c r="B20" s="10"/>
      <c r="C20" s="10"/>
      <c r="D20" s="10"/>
      <c r="E20" s="10"/>
      <c r="F20" s="10"/>
      <c r="G20" s="10"/>
      <c r="H20" s="10"/>
      <c r="I20" s="10"/>
      <c r="J20" s="10"/>
      <c r="O20" s="10"/>
      <c r="P20" s="10"/>
      <c r="Q20" s="10"/>
      <c r="R20" s="10"/>
    </row>
    <row r="21" spans="1:18" s="4" customFormat="1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</row>
    <row r="22" spans="1:18" s="4" customFormat="1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</row>
    <row r="23" spans="1:18" s="4" customFormat="1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</row>
    <row r="24" spans="1:18" s="4" customFormat="1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</row>
    <row r="25" spans="1:18" s="4" customFormat="1" x14ac:dyDescent="0.2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</row>
    <row r="26" spans="1:18" s="4" customFormat="1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</row>
    <row r="27" spans="1:18" s="4" customFormat="1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</row>
    <row r="28" spans="1:18" s="4" customFormat="1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</row>
    <row r="29" spans="1:18" s="4" customFormat="1" x14ac:dyDescent="0.2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</row>
    <row r="30" spans="1:18" s="4" customFormat="1" x14ac:dyDescent="0.25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</row>
    <row r="31" spans="1:18" s="4" customFormat="1" x14ac:dyDescent="0.25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</row>
    <row r="32" spans="1:18" s="4" customFormat="1" x14ac:dyDescent="0.25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</row>
    <row r="33" spans="11:57" x14ac:dyDescent="0.25"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</row>
    <row r="34" spans="11:57" x14ac:dyDescent="0.25">
      <c r="K34" s="4"/>
      <c r="L34" s="4"/>
      <c r="M34" s="4"/>
      <c r="N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</row>
    <row r="35" spans="11:57" x14ac:dyDescent="0.25">
      <c r="K35" s="4"/>
      <c r="L35" s="4"/>
      <c r="M35" s="4"/>
      <c r="N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</row>
    <row r="36" spans="11:57" x14ac:dyDescent="0.25"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</row>
    <row r="37" spans="11:57" x14ac:dyDescent="0.25"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</row>
  </sheetData>
  <mergeCells count="4">
    <mergeCell ref="C5:E5"/>
    <mergeCell ref="C15:E15"/>
    <mergeCell ref="K5:M5"/>
    <mergeCell ref="K9:N9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Sebastien</dc:creator>
  <cp:lastModifiedBy>Tigre</cp:lastModifiedBy>
  <dcterms:created xsi:type="dcterms:W3CDTF">2014-12-19T13:44:46Z</dcterms:created>
  <dcterms:modified xsi:type="dcterms:W3CDTF">2014-12-20T09:52:20Z</dcterms:modified>
</cp:coreProperties>
</file>